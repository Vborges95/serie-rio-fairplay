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borge\Downloads\"/>
    </mc:Choice>
  </mc:AlternateContent>
  <xr:revisionPtr revIDLastSave="0" documentId="11_37F08DF4F3CFF18C9378F4096714B81F9D51BB09" xr6:coauthVersionLast="47" xr6:coauthVersionMax="47" xr10:uidLastSave="{00000000-0000-0000-0000-000000000000}"/>
  <bookViews>
    <workbookView xWindow="-120" yWindow="-120" windowWidth="20730" windowHeight="11040" tabRatio="500" firstSheet="5" activeTab="6" xr2:uid="{00000000-000D-0000-FFFF-FFFF00000000}"/>
  </bookViews>
  <sheets>
    <sheet name="Leia-me" sheetId="1" r:id="rId1"/>
    <sheet name="Dados" sheetId="2" r:id="rId2"/>
    <sheet name="1-SSF Brasil" sheetId="3" r:id="rId3"/>
    <sheet name="2-Inglaterra PSR" sheetId="4" r:id="rId4"/>
    <sheet name="3-Espanha LCPD" sheetId="5" r:id="rId5"/>
    <sheet name="4-Itália FIGC" sheetId="6" r:id="rId6"/>
    <sheet name="5-Alemanha DFL" sheetId="7" r:id="rId7"/>
    <sheet name="6-França DNCG" sheetId="8" r:id="rId8"/>
    <sheet name="Síntese" sheetId="9" r:id="rId9"/>
  </sheets>
  <calcPr calcId="191029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9" i="8" l="1"/>
  <c r="C9" i="8"/>
  <c r="B9" i="8"/>
  <c r="E9" i="8" s="1"/>
  <c r="G9" i="9" s="1"/>
  <c r="D8" i="8"/>
  <c r="C8" i="8"/>
  <c r="B8" i="8"/>
  <c r="E8" i="8" s="1"/>
  <c r="G8" i="9" s="1"/>
  <c r="D7" i="8"/>
  <c r="C7" i="8"/>
  <c r="B7" i="8"/>
  <c r="E7" i="8" s="1"/>
  <c r="G7" i="9" s="1"/>
  <c r="E6" i="8"/>
  <c r="G6" i="9" s="1"/>
  <c r="D6" i="8"/>
  <c r="C6" i="8"/>
  <c r="B6" i="8"/>
  <c r="C9" i="7"/>
  <c r="B9" i="7"/>
  <c r="D9" i="7" s="1"/>
  <c r="F9" i="9" s="1"/>
  <c r="C8" i="7"/>
  <c r="B8" i="7"/>
  <c r="D8" i="7" s="1"/>
  <c r="F8" i="9" s="1"/>
  <c r="C7" i="7"/>
  <c r="B7" i="7"/>
  <c r="D7" i="7" s="1"/>
  <c r="F7" i="9" s="1"/>
  <c r="C6" i="7"/>
  <c r="B6" i="7"/>
  <c r="D6" i="7" s="1"/>
  <c r="F6" i="9" s="1"/>
  <c r="F9" i="6"/>
  <c r="G9" i="6" s="1"/>
  <c r="D9" i="6"/>
  <c r="B9" i="6"/>
  <c r="C9" i="6" s="1"/>
  <c r="F8" i="6"/>
  <c r="G8" i="6" s="1"/>
  <c r="D8" i="6"/>
  <c r="E8" i="6" s="1"/>
  <c r="B8" i="6"/>
  <c r="F7" i="6"/>
  <c r="G7" i="6" s="1"/>
  <c r="D7" i="6"/>
  <c r="E7" i="6" s="1"/>
  <c r="B7" i="6"/>
  <c r="F6" i="6"/>
  <c r="D6" i="6"/>
  <c r="E6" i="6" s="1"/>
  <c r="B6" i="6"/>
  <c r="C6" i="6" s="1"/>
  <c r="C9" i="5"/>
  <c r="B9" i="5"/>
  <c r="D9" i="5" s="1"/>
  <c r="E8" i="5"/>
  <c r="C8" i="5"/>
  <c r="B8" i="5"/>
  <c r="D8" i="5" s="1"/>
  <c r="F8" i="5" s="1"/>
  <c r="G8" i="5" s="1"/>
  <c r="D8" i="9" s="1"/>
  <c r="C7" i="5"/>
  <c r="B7" i="5"/>
  <c r="D7" i="5" s="1"/>
  <c r="C6" i="5"/>
  <c r="B6" i="5"/>
  <c r="D6" i="5" s="1"/>
  <c r="C9" i="4"/>
  <c r="B9" i="4"/>
  <c r="C8" i="4"/>
  <c r="B8" i="4"/>
  <c r="G7" i="4"/>
  <c r="C7" i="9" s="1"/>
  <c r="E7" i="4"/>
  <c r="C7" i="4"/>
  <c r="B7" i="4"/>
  <c r="C6" i="4"/>
  <c r="B6" i="4"/>
  <c r="G9" i="3"/>
  <c r="H9" i="3" s="1"/>
  <c r="F9" i="3"/>
  <c r="E9" i="3"/>
  <c r="C9" i="3"/>
  <c r="B9" i="3"/>
  <c r="G8" i="3"/>
  <c r="H8" i="3" s="1"/>
  <c r="F8" i="3"/>
  <c r="E8" i="3"/>
  <c r="C8" i="3"/>
  <c r="D8" i="3" s="1"/>
  <c r="I8" i="3" s="1"/>
  <c r="B8" i="9" s="1"/>
  <c r="B8" i="3"/>
  <c r="G7" i="3"/>
  <c r="H7" i="3" s="1"/>
  <c r="F7" i="3"/>
  <c r="E7" i="3"/>
  <c r="C7" i="3"/>
  <c r="B7" i="3"/>
  <c r="G6" i="3"/>
  <c r="H6" i="3" s="1"/>
  <c r="F6" i="3"/>
  <c r="E6" i="3"/>
  <c r="C6" i="3"/>
  <c r="B6" i="3"/>
  <c r="H9" i="6" l="1"/>
  <c r="E9" i="9" s="1"/>
  <c r="E9" i="6"/>
  <c r="C8" i="6"/>
  <c r="H8" i="6"/>
  <c r="E8" i="9" s="1"/>
  <c r="H7" i="6"/>
  <c r="E7" i="9" s="1"/>
  <c r="C7" i="6"/>
  <c r="H6" i="6"/>
  <c r="E6" i="9" s="1"/>
  <c r="G6" i="6"/>
  <c r="G9" i="4"/>
  <c r="C9" i="9" s="1"/>
  <c r="E9" i="4"/>
  <c r="E8" i="4"/>
  <c r="G8" i="4"/>
  <c r="C8" i="9" s="1"/>
  <c r="G6" i="4"/>
  <c r="C6" i="9" s="1"/>
  <c r="E6" i="4"/>
  <c r="D9" i="3"/>
  <c r="I9" i="3" s="1"/>
  <c r="B9" i="9" s="1"/>
  <c r="E9" i="5"/>
  <c r="F9" i="5" s="1"/>
  <c r="G9" i="5" s="1"/>
  <c r="D9" i="9" s="1"/>
  <c r="D7" i="3"/>
  <c r="I7" i="3" s="1"/>
  <c r="B7" i="9" s="1"/>
  <c r="E7" i="5"/>
  <c r="F7" i="5" s="1"/>
  <c r="G7" i="5" s="1"/>
  <c r="D7" i="9" s="1"/>
  <c r="D6" i="3"/>
  <c r="I6" i="3" s="1"/>
  <c r="B6" i="9" s="1"/>
  <c r="E6" i="5"/>
  <c r="F6" i="5" s="1"/>
  <c r="G6" i="5" s="1"/>
  <c r="D6" i="9" s="1"/>
</calcChain>
</file>

<file path=xl/sharedStrings.xml><?xml version="1.0" encoding="utf-8"?>
<sst xmlns="http://schemas.openxmlformats.org/spreadsheetml/2006/main" count="161" uniqueCount="121">
  <si>
    <t>Série Rio — Seis réguas, quatro clubes</t>
  </si>
  <si>
    <t>Planilha de cálculos auditável · benchmarking de fair play financeiro</t>
  </si>
  <si>
    <t>COMO USAR ESTA PLANILHA</t>
  </si>
  <si>
    <t>Esta planilha aplica seis réguas de fair play financeiro (o SSF brasileiro e as cinco ligas que a CBF citou como inspiração) aos quatro grandes do Rio, no exercício 2025. Tudo é calculado por fórmulas: altere um número azul na aba "Dados" e todos os vereditos recalculam.</t>
  </si>
  <si>
    <t>CONVENÇÃO DE CORES</t>
  </si>
  <si>
    <t>• Texto AZUL = dado de entrada (input), extraído dos balanços auditados. É o que você pode alterar.</t>
  </si>
  <si>
    <t>• Texto PRETO = fórmula/cálculo. Não editar — recalcula sozinho.</t>
  </si>
  <si>
    <t>• Texto VERDE = link puxando de outra aba.</t>
  </si>
  <si>
    <t>CLASSIFICAÇÃO DE EVIDÊNCIAS</t>
  </si>
  <si>
    <t>🟢 documentado — fonte primária nomeada (balanço auditado ou regulamento oficial).</t>
  </si>
  <si>
    <t>🟡 inferência forte — dedução de baixo risco a partir de dado documentado.</t>
  </si>
  <si>
    <t>🔵 leitura analítica — interpretação própria, não atribuível a uma fonte.</t>
  </si>
  <si>
    <t>AS SEIS RÉGUAS (uma aba cada)</t>
  </si>
  <si>
    <t>1. SSF (Brasil) — Equilíbrio, Custo com Elenco e Endividamento; foco em 2025, cobrança de 2026.</t>
  </si>
  <si>
    <t>2. Inglaterra (PSR) — perda acumulada trienal; teto bruto £105M e trava de perda própria £15M.</t>
  </si>
  <si>
    <t>3. Espanha (LCPD) — teto = receita operacional líquida − dívida, vs. custo de plantel.</t>
  </si>
  <si>
    <t>4. Itália (FIGC) — três indicadores: liquidez, endividamento e custo do trabalho ampliado.</t>
  </si>
  <si>
    <t>5. Alemanha (DFL) — licenciamento: patrimônio líquido (proxy) e caixa.</t>
  </si>
  <si>
    <t>6. França (DNCG) — resultado da operação corrente (hors mutation), aporte isolado.</t>
  </si>
  <si>
    <t>LIMITAÇÕES DECLARADAS</t>
  </si>
  <si>
    <t>• La Liga: despesa não-esportiva não é segregável nos balanços brasileiros — usa-se versão simplificada (limitação documentada).</t>
  </si>
  <si>
    <t>• Alemanha: o DFL real avalia projeção de caixa prospectiva, ausente dos balanços — usa-se patrimônio líquido como proxy.</t>
  </si>
  <si>
    <t>• Endividamento/Inglaterra: OLCP e perda própria aproximados pelo perímetro homogêneo disponível nos quatro balanços.</t>
  </si>
  <si>
    <t>• Equilíbrio (SSF) e hors mutation: fiéis ao número reportado na DRE, que embute não-recorrentes (deságios de RJ no Vasco; venda LFU no Botafogo) — observação registrada, sem ajuste.</t>
  </si>
  <si>
    <t>FONTES</t>
  </si>
  <si>
    <t>Balanços auditados de Flamengo, Fluminense, Vasco SAF e Botafogo SAF (2023–2025). Regulamentos: SSF/CBF 2025; Premier League Handbook Sec. E; LaLiga Normas de Elaboración de Presupuestos; FIGC NOIF Titolo VI art. 85; DFL Licensing Regulations; Code du sport / Règlement DNCG.</t>
  </si>
  <si>
    <t>Exercício analítico independente. Não é relatório oficial de nenhuma entidade. Valores em R$ mil, salvo indicação.</t>
  </si>
  <si>
    <t>DADOS DE ENTRADA — balanços auditados (R$ mil)</t>
  </si>
  <si>
    <t>Valores em AZUL são inputs (editáveis). Fonte: demonstrações financeiras auditadas 2023–2025.</t>
  </si>
  <si>
    <t>Métrica (2025, salvo indicado)</t>
  </si>
  <si>
    <t>Flamengo</t>
  </si>
  <si>
    <t>Fluminense</t>
  </si>
  <si>
    <t>Vasco</t>
  </si>
  <si>
    <t>Botafogo</t>
  </si>
  <si>
    <t>Fonte / nota</t>
  </si>
  <si>
    <t>Receita operacional líquida</t>
  </si>
  <si>
    <t>DRE 2025 (consolidado)</t>
  </si>
  <si>
    <t>Receita de transferências</t>
  </si>
  <si>
    <t>DRE/NE cessões 2025</t>
  </si>
  <si>
    <t>Folha ampliada</t>
  </si>
  <si>
    <t>NE pessoal 2025</t>
  </si>
  <si>
    <t>Amortização de atletas</t>
  </si>
  <si>
    <t>NE intangível 2025</t>
  </si>
  <si>
    <t>Contribuições patrimoniais (aporte)</t>
  </si>
  <si>
    <t>Mutações PL 2025</t>
  </si>
  <si>
    <t>Resultado operacional (antes financeiro)</t>
  </si>
  <si>
    <t>DRE 2025 (fiel; embute não-recorrentes)</t>
  </si>
  <si>
    <t>EBITDA Recorrente Puro (hors mutation)</t>
  </si>
  <si>
    <t>cálculo recorrente 2025</t>
  </si>
  <si>
    <t>Dívida onerosa (empréstimos CP+LP)</t>
  </si>
  <si>
    <t>NE empréstimos 2025</t>
  </si>
  <si>
    <t>Parcelamento fiscal (CP+LP)</t>
  </si>
  <si>
    <t>NE obrigações tributárias 2025</t>
  </si>
  <si>
    <t>Ativo circulante</t>
  </si>
  <si>
    <t>BP 2025</t>
  </si>
  <si>
    <t>Passivo circulante</t>
  </si>
  <si>
    <t>Patrimônio líquido</t>
  </si>
  <si>
    <t>Caixa e equivalentes</t>
  </si>
  <si>
    <t>BP 2025 (Botafogo aprox.)</t>
  </si>
  <si>
    <t>Resultado líq. trienal 2023-25 (PSR)</t>
  </si>
  <si>
    <t>soma resultado antes IR 2023+24+25</t>
  </si>
  <si>
    <t>Aporte trienal 2023-25 (PSR)</t>
  </si>
  <si>
    <t>mutações PL 2023+24+25</t>
  </si>
  <si>
    <t>Brasil — SSF / ANRESF (cobrança 2026)</t>
  </si>
  <si>
    <t>Três requisitos: Equilíbrio (déficit ≤ max(30.000; 2,5% receita)), Custo com Elenco (custo÷receita relevante ≤90% em 2026) e Endividamento (OLCP÷receita ≤70% em 2026). Receita relevante = receita líquida + transferências + aportes.</t>
  </si>
  <si>
    <t>Fonte: Regulamento SSF/CBF 2025 (Arts. 49–50; Seções 4 e 5).</t>
  </si>
  <si>
    <t>Clube</t>
  </si>
  <si>
    <t>Receita relev.</t>
  </si>
  <si>
    <t>Custo elenco</t>
  </si>
  <si>
    <t>Índice custo</t>
  </si>
  <si>
    <t>Result. op.</t>
  </si>
  <si>
    <t>Lim. déficit</t>
  </si>
  <si>
    <t>Endivid. (OLCP)</t>
  </si>
  <si>
    <t>Índice end.</t>
  </si>
  <si>
    <t>Veredito</t>
  </si>
  <si>
    <t>Inglaterra — Premier League (PSR)</t>
  </si>
  <si>
    <t>Perda acumulada trienal (2023–2025). Teto bruto £105M≈R$700.000; trava de perda própria £15M≈R$100.000 (perda além disso precisa estar coberta por aporte). Conversão só para escala.</t>
  </si>
  <si>
    <t>Fonte: Premier League Handbook, Section E (premierleague.com).</t>
  </si>
  <si>
    <t>Perda acum. 3 anos</t>
  </si>
  <si>
    <t>Aporte 3 anos</t>
  </si>
  <si>
    <t>Teto bruto (R$700k)</t>
  </si>
  <si>
    <t>Veredito bruto</t>
  </si>
  <si>
    <t>Trava própria (R$100k)</t>
  </si>
  <si>
    <t>Veredito próprio</t>
  </si>
  <si>
    <t>Espanha — La Liga (LCPD)</t>
  </si>
  <si>
    <t>Teto = Receita operacional líquida − Dívida (empréstimos + parcelamento fiscal), confrontado ao gasto com elenco (folha + amortização). Versão simplificada (despesa não-esportiva não segregável; vendas de atletas não entram no teto — limitação documentada).</t>
  </si>
  <si>
    <t>Fonte: LaLiga, Normas de Elaboración de Presupuestos, Art. 38 (laliga.com/transparency).</t>
  </si>
  <si>
    <t>Receita op. líq.</t>
  </si>
  <si>
    <t>Dívida total</t>
  </si>
  <si>
    <t>Teto (R−D)</t>
  </si>
  <si>
    <t>Gasto elenco</t>
  </si>
  <si>
    <t>Margem</t>
  </si>
  <si>
    <t>Itália — FIGC (três indicadores)</t>
  </si>
  <si>
    <t>Liquidità (AC/PC ≥0,80), Indebitamento (dívida/valor da produção ≤1,20), CLA/R (custo elenco/receita ≤0,70). Valor da produção = receita líquida + transferências. Reprova se falhar qualquer um.</t>
  </si>
  <si>
    <t>Fonte: FIGC, NOIF Titolo VI art. 85 (figc.it).</t>
  </si>
  <si>
    <t>Liquidità</t>
  </si>
  <si>
    <t>≥0,80?</t>
  </si>
  <si>
    <t>Indebit.</t>
  </si>
  <si>
    <t>≤1,20?</t>
  </si>
  <si>
    <t>CLA/R</t>
  </si>
  <si>
    <t>≤0,70?</t>
  </si>
  <si>
    <t>Alemanha — DFL (licenciamento)</t>
  </si>
  <si>
    <t>Licenciamento por patrimônio (proxy do critério de capital): patrimônio líquido negativo = falha. Caixa como referência de liquidez. Régua mais conceitual — DFL real usa projeção de caixa, ausente dos balanços (limitação).</t>
  </si>
  <si>
    <t>Fonte: DFL, Licensing Regulations (Lizenzierungsordnung) (dfl.de).</t>
  </si>
  <si>
    <t>Caixa</t>
  </si>
  <si>
    <t>Veredito (equity)</t>
  </si>
  <si>
    <t>França — DNCG</t>
  </si>
  <si>
    <t>Resultado da operação corrente (hors mutation = EBITDA Recorrente Puro, exclui transferências). Aporte do controlador isolado. Veredito: hors mutation ≥ 0 = aprovado.</t>
  </si>
  <si>
    <t>Fonte: Code du sport / Règlement DNCG (lfp.fr).</t>
  </si>
  <si>
    <t>Hors mutation</t>
  </si>
  <si>
    <t>Transferências</t>
  </si>
  <si>
    <t>Aporte</t>
  </si>
  <si>
    <t>Síntese — o mesmo clube sob as seis réguas</t>
  </si>
  <si>
    <t>Veredito de cada clube sob cada régua (2025; SSF cobrança 2026; PSR perda própria). Puxa o veredito de cada aba — recalcula se você alterar os dados.</t>
  </si>
  <si>
    <t>Leitura: Flamengo passa em todas; Vasco e Botafogo reprovam em todas; Fluminense é a divergência.</t>
  </si>
  <si>
    <t>Brasil</t>
  </si>
  <si>
    <t>Inglaterra</t>
  </si>
  <si>
    <t>Espanha</t>
  </si>
  <si>
    <t>Itália</t>
  </si>
  <si>
    <t>Alemanha</t>
  </si>
  <si>
    <t>França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</si>
</sst>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;\(#,##0\);\-"/>
    <numFmt numFmtId="165" formatCode="0.0%"/>
  </numFmts>
  <fonts count="8" x14ac:knownFonts="1">
    <font>
      <sz val="11"/>
      <color theme="1"/>
      <name val="Calibri"/>
      <family val="2"/>
      <charset val="1"/>
    </font>
    <font>
      <b/>
      <sz val="14"/>
      <color rgb="FF1A2A40"/>
      <name val="Arial"/>
      <charset val="1"/>
    </font>
    <font>
      <i/>
      <sz val="9"/>
      <color rgb="FF5A6470"/>
      <name val="Arial"/>
      <charset val="1"/>
    </font>
    <font>
      <b/>
      <sz val="10"/>
      <name val="Arial"/>
      <charset val="1"/>
    </font>
    <font>
      <sz val="10"/>
      <color rgb="FF000000"/>
      <name val="Arial"/>
      <charset val="1"/>
    </font>
    <font>
      <sz val="10"/>
      <color rgb="FF0000FF"/>
      <name val="Arial"/>
      <charset val="1"/>
    </font>
    <font>
      <sz val="10"/>
      <color rgb="FF008000"/>
      <name val="Arial"/>
      <charset val="1"/>
    </font>
    <font>
      <b/>
      <sz val="10"/>
      <color rgb="FFFFFFFF"/>
      <name val="Arial"/>
      <charset val="1"/>
    </font>
  </fonts>
  <fills count="10">
    <fill>
      <patternFill patternType="none"/>
    </fill>
    <fill>
      <patternFill patternType="gray125"/>
    </fill>
    <fill>
      <patternFill patternType="solid">
        <fgColor rgb="FF1A2A40"/>
        <bgColor rgb="FF002654"/>
      </patternFill>
    </fill>
    <fill>
      <patternFill patternType="solid">
        <fgColor rgb="FFF2F5F9"/>
        <bgColor rgb="FFFFFFFF"/>
      </patternFill>
    </fill>
    <fill>
      <patternFill patternType="solid">
        <fgColor rgb="FF00614A"/>
        <bgColor rgb="FF1E7A46"/>
      </patternFill>
    </fill>
    <fill>
      <patternFill patternType="solid">
        <fgColor rgb="FF3D195F"/>
        <bgColor rgb="FF1A2A40"/>
      </patternFill>
    </fill>
    <fill>
      <patternFill patternType="solid">
        <fgColor rgb="FFE30613"/>
        <bgColor rgb="FFB23A3A"/>
      </patternFill>
    </fill>
    <fill>
      <patternFill patternType="solid">
        <fgColor rgb="FF008C45"/>
        <bgColor rgb="FF1E7A46"/>
      </patternFill>
    </fill>
    <fill>
      <patternFill patternType="solid">
        <fgColor rgb="FF111111"/>
        <bgColor rgb="FF000000"/>
      </patternFill>
    </fill>
    <fill>
      <patternFill patternType="solid">
        <fgColor rgb="FF002654"/>
        <bgColor rgb="FF1A2A40"/>
      </patternFill>
    </fill>
  </fills>
  <borders count="2">
    <border>
      <left/>
      <right/>
      <top/>
      <bottom/>
      <diagonal/>
    </border>
    <border>
      <left style="thin">
        <color rgb="FFC9D2DD"/>
      </left>
      <right style="thin">
        <color rgb="FFC9D2DD"/>
      </right>
      <top style="thin">
        <color rgb="FFC9D2DD"/>
      </top>
      <bottom style="thin">
        <color rgb="FFC9D2DD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0" borderId="0" xfId="0" applyFont="1" applyAlignment="1">
      <alignment horizontal="left" vertical="top" wrapText="1"/>
    </xf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7" fillId="2" borderId="1" xfId="0" applyFont="1" applyFill="1" applyBorder="1" applyAlignment="1">
      <alignment horizontal="left" vertical="center"/>
    </xf>
    <xf numFmtId="0" fontId="7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164" fontId="5" fillId="0" borderId="1" xfId="0" applyNumberFormat="1" applyFont="1" applyBorder="1" applyAlignment="1">
      <alignment horizontal="right" vertical="center"/>
    </xf>
    <xf numFmtId="0" fontId="2" fillId="0" borderId="1" xfId="0" applyFont="1" applyBorder="1" applyAlignment="1">
      <alignment horizontal="left" vertical="center"/>
    </xf>
    <xf numFmtId="0" fontId="3" fillId="3" borderId="1" xfId="0" applyFont="1" applyFill="1" applyBorder="1" applyAlignment="1">
      <alignment horizontal="left" vertical="center"/>
    </xf>
    <xf numFmtId="164" fontId="5" fillId="3" borderId="1" xfId="0" applyNumberFormat="1" applyFont="1" applyFill="1" applyBorder="1" applyAlignment="1">
      <alignment horizontal="right" vertical="center"/>
    </xf>
    <xf numFmtId="0" fontId="2" fillId="3" borderId="1" xfId="0" applyFont="1" applyFill="1" applyBorder="1" applyAlignment="1">
      <alignment horizontal="left" vertical="center"/>
    </xf>
    <xf numFmtId="0" fontId="7" fillId="4" borderId="1" xfId="0" applyFont="1" applyFill="1" applyBorder="1" applyAlignment="1">
      <alignment horizontal="left" vertical="center"/>
    </xf>
    <xf numFmtId="0" fontId="7" fillId="4" borderId="1" xfId="0" applyFont="1" applyFill="1" applyBorder="1" applyAlignment="1">
      <alignment horizontal="center" vertical="center"/>
    </xf>
    <xf numFmtId="164" fontId="6" fillId="0" borderId="1" xfId="0" applyNumberFormat="1" applyFont="1" applyBorder="1" applyAlignment="1">
      <alignment horizontal="right" vertical="center"/>
    </xf>
    <xf numFmtId="165" fontId="4" fillId="0" borderId="1" xfId="0" applyNumberFormat="1" applyFont="1" applyBorder="1" applyAlignment="1">
      <alignment horizontal="right" vertical="center"/>
    </xf>
    <xf numFmtId="0" fontId="4" fillId="0" borderId="1" xfId="0" applyFont="1" applyBorder="1" applyAlignment="1">
      <alignment horizontal="center" vertical="center"/>
    </xf>
    <xf numFmtId="0" fontId="7" fillId="5" borderId="1" xfId="0" applyFont="1" applyFill="1" applyBorder="1" applyAlignment="1">
      <alignment horizontal="left" vertical="center"/>
    </xf>
    <xf numFmtId="0" fontId="7" fillId="5" borderId="1" xfId="0" applyFont="1" applyFill="1" applyBorder="1" applyAlignment="1">
      <alignment horizontal="center" vertical="center"/>
    </xf>
    <xf numFmtId="164" fontId="4" fillId="0" borderId="1" xfId="0" applyNumberFormat="1" applyFont="1" applyBorder="1" applyAlignment="1">
      <alignment horizontal="right" vertical="center"/>
    </xf>
    <xf numFmtId="0" fontId="7" fillId="6" borderId="1" xfId="0" applyFont="1" applyFill="1" applyBorder="1" applyAlignment="1">
      <alignment horizontal="left" vertical="center"/>
    </xf>
    <xf numFmtId="0" fontId="7" fillId="6" borderId="1" xfId="0" applyFont="1" applyFill="1" applyBorder="1" applyAlignment="1">
      <alignment horizontal="center" vertical="center"/>
    </xf>
    <xf numFmtId="0" fontId="7" fillId="7" borderId="1" xfId="0" applyFont="1" applyFill="1" applyBorder="1" applyAlignment="1">
      <alignment horizontal="left" vertical="center"/>
    </xf>
    <xf numFmtId="0" fontId="7" fillId="7" borderId="1" xfId="0" applyFont="1" applyFill="1" applyBorder="1" applyAlignment="1">
      <alignment horizontal="center" vertical="center"/>
    </xf>
    <xf numFmtId="2" fontId="4" fillId="0" borderId="1" xfId="0" applyNumberFormat="1" applyFont="1" applyBorder="1" applyAlignment="1">
      <alignment horizontal="right" vertical="center"/>
    </xf>
    <xf numFmtId="0" fontId="7" fillId="8" borderId="1" xfId="0" applyFont="1" applyFill="1" applyBorder="1" applyAlignment="1">
      <alignment horizontal="left" vertical="center"/>
    </xf>
    <xf numFmtId="0" fontId="7" fillId="8" borderId="1" xfId="0" applyFont="1" applyFill="1" applyBorder="1" applyAlignment="1">
      <alignment horizontal="center" vertical="center"/>
    </xf>
    <xf numFmtId="0" fontId="7" fillId="9" borderId="1" xfId="0" applyFont="1" applyFill="1" applyBorder="1" applyAlignment="1">
      <alignment horizontal="left" vertical="center"/>
    </xf>
    <xf numFmtId="0" fontId="7" fillId="9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</cellXfs>
  <cellStyles count="1">
    <cellStyle name="Normal" xfId="0" builtinId="0"/>
  </cellStyles>
  <dxfs count="16">
    <dxf>
      <font>
        <b/>
        <sz val="10"/>
        <color rgb="FFB23A3A"/>
        <name val="Arial"/>
        <charset val="1"/>
      </font>
      <fill>
        <patternFill>
          <bgColor rgb="FFF6DADA"/>
        </patternFill>
      </fill>
    </dxf>
    <dxf>
      <font>
        <b/>
        <sz val="10"/>
        <color rgb="FF1E7A46"/>
        <name val="Arial"/>
        <charset val="1"/>
      </font>
      <fill>
        <patternFill>
          <bgColor rgb="FFD6EADD"/>
        </patternFill>
      </fill>
    </dxf>
    <dxf>
      <font>
        <b/>
        <sz val="10"/>
        <color rgb="FFB23A3A"/>
        <name val="Arial"/>
        <charset val="1"/>
      </font>
      <fill>
        <patternFill>
          <bgColor rgb="FFF6DADA"/>
        </patternFill>
      </fill>
    </dxf>
    <dxf>
      <font>
        <b/>
        <sz val="10"/>
        <color rgb="FF1E7A46"/>
        <name val="Arial"/>
        <charset val="1"/>
      </font>
      <fill>
        <patternFill>
          <bgColor rgb="FFD6EADD"/>
        </patternFill>
      </fill>
    </dxf>
    <dxf>
      <font>
        <b/>
        <sz val="10"/>
        <color rgb="FFB23A3A"/>
        <name val="Arial"/>
        <charset val="1"/>
      </font>
      <fill>
        <patternFill>
          <bgColor rgb="FFF6DADA"/>
        </patternFill>
      </fill>
    </dxf>
    <dxf>
      <font>
        <b/>
        <sz val="10"/>
        <color rgb="FF1E7A46"/>
        <name val="Arial"/>
        <charset val="1"/>
      </font>
      <fill>
        <patternFill>
          <bgColor rgb="FFD6EADD"/>
        </patternFill>
      </fill>
    </dxf>
    <dxf>
      <font>
        <b/>
        <sz val="10"/>
        <color rgb="FFB23A3A"/>
        <name val="Arial"/>
        <charset val="1"/>
      </font>
      <fill>
        <patternFill>
          <bgColor rgb="FFF6DADA"/>
        </patternFill>
      </fill>
    </dxf>
    <dxf>
      <font>
        <b/>
        <sz val="10"/>
        <color rgb="FF1E7A46"/>
        <name val="Arial"/>
        <charset val="1"/>
      </font>
      <fill>
        <patternFill>
          <bgColor rgb="FFD6EADD"/>
        </patternFill>
      </fill>
    </dxf>
    <dxf>
      <font>
        <b/>
        <sz val="10"/>
        <color rgb="FFB23A3A"/>
        <name val="Arial"/>
        <charset val="1"/>
      </font>
      <fill>
        <patternFill>
          <bgColor rgb="FFF6DADA"/>
        </patternFill>
      </fill>
    </dxf>
    <dxf>
      <font>
        <b/>
        <sz val="10"/>
        <color rgb="FF1E7A46"/>
        <name val="Arial"/>
        <charset val="1"/>
      </font>
      <fill>
        <patternFill>
          <bgColor rgb="FFD6EADD"/>
        </patternFill>
      </fill>
    </dxf>
    <dxf>
      <font>
        <b/>
        <sz val="10"/>
        <color rgb="FFB23A3A"/>
        <name val="Arial"/>
        <charset val="1"/>
      </font>
      <fill>
        <patternFill>
          <bgColor rgb="FFF6DADA"/>
        </patternFill>
      </fill>
    </dxf>
    <dxf>
      <font>
        <b/>
        <sz val="10"/>
        <color rgb="FF1E7A46"/>
        <name val="Arial"/>
        <charset val="1"/>
      </font>
      <fill>
        <patternFill>
          <bgColor rgb="FFD6EADD"/>
        </patternFill>
      </fill>
    </dxf>
    <dxf>
      <font>
        <b/>
        <sz val="10"/>
        <color rgb="FFB23A3A"/>
        <name val="Arial"/>
        <charset val="1"/>
      </font>
      <fill>
        <patternFill>
          <bgColor rgb="FFF6DADA"/>
        </patternFill>
      </fill>
    </dxf>
    <dxf>
      <font>
        <b/>
        <sz val="10"/>
        <color rgb="FF1E7A46"/>
        <name val="Arial"/>
        <charset val="1"/>
      </font>
      <fill>
        <patternFill>
          <bgColor rgb="FFD6EADD"/>
        </patternFill>
      </fill>
    </dxf>
    <dxf>
      <font>
        <b/>
        <sz val="10"/>
        <color rgb="FFB23A3A"/>
        <name val="Arial"/>
        <charset val="1"/>
      </font>
      <fill>
        <patternFill>
          <bgColor rgb="FFF6DADA"/>
        </patternFill>
      </fill>
    </dxf>
    <dxf>
      <font>
        <b/>
        <sz val="10"/>
        <color rgb="FF1E7A46"/>
        <name val="Arial"/>
        <charset val="1"/>
      </font>
      <fill>
        <patternFill>
          <bgColor rgb="FFD6EADD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E30613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C45"/>
      <rgbColor rgb="FFC0C0C0"/>
      <rgbColor rgb="FF808080"/>
      <rgbColor rgb="FF9999FF"/>
      <rgbColor rgb="FFB23A3A"/>
      <rgbColor rgb="FFF2F5F9"/>
      <rgbColor rgb="FFCCFFFF"/>
      <rgbColor rgb="FF660066"/>
      <rgbColor rgb="FFFF8080"/>
      <rgbColor rgb="FF00614A"/>
      <rgbColor rgb="FFC9D2DD"/>
      <rgbColor rgb="FF000080"/>
      <rgbColor rgb="FFFF00FF"/>
      <rgbColor rgb="FFFFFF00"/>
      <rgbColor rgb="FF00FFFF"/>
      <rgbColor rgb="FF800080"/>
      <rgbColor rgb="FF800000"/>
      <rgbColor rgb="FF1E7A46"/>
      <rgbColor rgb="FF0000FF"/>
      <rgbColor rgb="FF00CCFF"/>
      <rgbColor rgb="FFCCFFFF"/>
      <rgbColor rgb="FFD6EADD"/>
      <rgbColor rgb="FFFFFF99"/>
      <rgbColor rgb="FF99CCFF"/>
      <rgbColor rgb="FFFF99CC"/>
      <rgbColor rgb="FFCC99FF"/>
      <rgbColor rgb="FFF6DADA"/>
      <rgbColor rgb="FF3366FF"/>
      <rgbColor rgb="FF33CCCC"/>
      <rgbColor rgb="FF99CC00"/>
      <rgbColor rgb="FFFFCC00"/>
      <rgbColor rgb="FFFF9900"/>
      <rgbColor rgb="FFFF6600"/>
      <rgbColor rgb="FF5A6470"/>
      <rgbColor rgb="FF969696"/>
      <rgbColor rgb="FF002654"/>
      <rgbColor rgb="FF339966"/>
      <rgbColor rgb="FF111111"/>
      <rgbColor rgb="FF333300"/>
      <rgbColor rgb="FF993300"/>
      <rgbColor rgb="FF993366"/>
      <rgbColor rgb="FF3D195F"/>
      <rgbColor rgb="FF1A2A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B35"/>
  <sheetViews>
    <sheetView showGridLines="0" topLeftCell="A4" zoomScaleNormal="100" workbookViewId="0"/>
  </sheetViews>
  <sheetFormatPr defaultColWidth="8.7109375" defaultRowHeight="15" x14ac:dyDescent="0.25"/>
  <cols>
    <col min="1" max="1" width="3" customWidth="1"/>
    <col min="2" max="2" width="100" customWidth="1"/>
  </cols>
  <sheetData>
    <row r="2" spans="2:2" ht="18" x14ac:dyDescent="0.25">
      <c r="B2" s="2" t="s">
        <v>0</v>
      </c>
    </row>
    <row r="3" spans="2:2" x14ac:dyDescent="0.25">
      <c r="B3" s="3" t="s">
        <v>1</v>
      </c>
    </row>
    <row r="5" spans="2:2" ht="13.5" customHeight="1" x14ac:dyDescent="0.25">
      <c r="B5" s="4" t="s">
        <v>2</v>
      </c>
    </row>
    <row r="6" spans="2:2" ht="42" customHeight="1" x14ac:dyDescent="0.25">
      <c r="B6" s="5" t="s">
        <v>3</v>
      </c>
    </row>
    <row r="8" spans="2:2" ht="13.5" customHeight="1" x14ac:dyDescent="0.25">
      <c r="B8" s="4" t="s">
        <v>4</v>
      </c>
    </row>
    <row r="9" spans="2:2" ht="13.5" customHeight="1" x14ac:dyDescent="0.25">
      <c r="B9" s="6" t="s">
        <v>5</v>
      </c>
    </row>
    <row r="10" spans="2:2" ht="13.5" customHeight="1" x14ac:dyDescent="0.25">
      <c r="B10" s="5" t="s">
        <v>6</v>
      </c>
    </row>
    <row r="11" spans="2:2" ht="13.5" customHeight="1" x14ac:dyDescent="0.25">
      <c r="B11" s="7" t="s">
        <v>7</v>
      </c>
    </row>
    <row r="13" spans="2:2" ht="13.5" customHeight="1" x14ac:dyDescent="0.25">
      <c r="B13" s="4" t="s">
        <v>8</v>
      </c>
    </row>
    <row r="14" spans="2:2" ht="13.5" customHeight="1" x14ac:dyDescent="0.25">
      <c r="B14" s="5" t="s">
        <v>9</v>
      </c>
    </row>
    <row r="15" spans="2:2" ht="13.5" customHeight="1" x14ac:dyDescent="0.25">
      <c r="B15" s="5" t="s">
        <v>10</v>
      </c>
    </row>
    <row r="16" spans="2:2" ht="13.5" customHeight="1" x14ac:dyDescent="0.25">
      <c r="B16" s="5" t="s">
        <v>11</v>
      </c>
    </row>
    <row r="18" spans="2:2" ht="13.5" customHeight="1" x14ac:dyDescent="0.25">
      <c r="B18" s="4" t="s">
        <v>12</v>
      </c>
    </row>
    <row r="19" spans="2:2" ht="13.5" customHeight="1" x14ac:dyDescent="0.25">
      <c r="B19" s="5" t="s">
        <v>13</v>
      </c>
    </row>
    <row r="20" spans="2:2" ht="13.5" customHeight="1" x14ac:dyDescent="0.25">
      <c r="B20" s="5" t="s">
        <v>14</v>
      </c>
    </row>
    <row r="21" spans="2:2" ht="13.5" customHeight="1" x14ac:dyDescent="0.25">
      <c r="B21" s="5" t="s">
        <v>15</v>
      </c>
    </row>
    <row r="22" spans="2:2" ht="13.5" customHeight="1" x14ac:dyDescent="0.25">
      <c r="B22" s="5" t="s">
        <v>16</v>
      </c>
    </row>
    <row r="23" spans="2:2" ht="13.5" customHeight="1" x14ac:dyDescent="0.25">
      <c r="B23" s="5" t="s">
        <v>17</v>
      </c>
    </row>
    <row r="24" spans="2:2" ht="13.5" customHeight="1" x14ac:dyDescent="0.25">
      <c r="B24" s="5" t="s">
        <v>18</v>
      </c>
    </row>
    <row r="26" spans="2:2" ht="13.5" customHeight="1" x14ac:dyDescent="0.25">
      <c r="B26" s="4" t="s">
        <v>19</v>
      </c>
    </row>
    <row r="27" spans="2:2" ht="27.75" customHeight="1" x14ac:dyDescent="0.25">
      <c r="B27" s="5" t="s">
        <v>20</v>
      </c>
    </row>
    <row r="28" spans="2:2" ht="27.75" customHeight="1" x14ac:dyDescent="0.25">
      <c r="B28" s="5" t="s">
        <v>21</v>
      </c>
    </row>
    <row r="29" spans="2:2" ht="27.75" customHeight="1" x14ac:dyDescent="0.25">
      <c r="B29" s="5" t="s">
        <v>22</v>
      </c>
    </row>
    <row r="30" spans="2:2" ht="27.75" customHeight="1" x14ac:dyDescent="0.25">
      <c r="B30" s="5" t="s">
        <v>23</v>
      </c>
    </row>
    <row r="32" spans="2:2" ht="13.5" customHeight="1" x14ac:dyDescent="0.25">
      <c r="B32" s="4" t="s">
        <v>24</v>
      </c>
    </row>
    <row r="33" spans="2:2" ht="42" customHeight="1" x14ac:dyDescent="0.25">
      <c r="B33" s="5" t="s">
        <v>25</v>
      </c>
    </row>
    <row r="35" spans="2:2" ht="27.75" customHeight="1" x14ac:dyDescent="0.25">
      <c r="B35" s="8" t="s">
        <v>26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9"/>
  <sheetViews>
    <sheetView showGridLines="0" zoomScaleNormal="100" workbookViewId="0"/>
  </sheetViews>
  <sheetFormatPr defaultColWidth="8.7109375" defaultRowHeight="15" x14ac:dyDescent="0.25"/>
  <cols>
    <col min="1" max="1" width="40" customWidth="1"/>
    <col min="2" max="5" width="15" customWidth="1"/>
    <col min="6" max="6" width="42" customWidth="1"/>
  </cols>
  <sheetData>
    <row r="1" spans="1:6" ht="18" x14ac:dyDescent="0.25">
      <c r="A1" s="2" t="s">
        <v>27</v>
      </c>
    </row>
    <row r="2" spans="1:6" x14ac:dyDescent="0.25">
      <c r="A2" s="3" t="s">
        <v>28</v>
      </c>
    </row>
    <row r="4" spans="1:6" x14ac:dyDescent="0.25">
      <c r="A4" s="9" t="s">
        <v>29</v>
      </c>
      <c r="B4" s="10" t="s">
        <v>30</v>
      </c>
      <c r="C4" s="10" t="s">
        <v>31</v>
      </c>
      <c r="D4" s="10" t="s">
        <v>32</v>
      </c>
      <c r="E4" s="10" t="s">
        <v>33</v>
      </c>
      <c r="F4" s="9" t="s">
        <v>34</v>
      </c>
    </row>
    <row r="5" spans="1:6" x14ac:dyDescent="0.25">
      <c r="A5" s="11" t="s">
        <v>35</v>
      </c>
      <c r="B5" s="12">
        <v>1499741</v>
      </c>
      <c r="C5" s="12">
        <v>758546</v>
      </c>
      <c r="D5" s="12">
        <v>413878</v>
      </c>
      <c r="E5" s="12">
        <v>574006</v>
      </c>
      <c r="F5" s="13" t="s">
        <v>36</v>
      </c>
    </row>
    <row r="6" spans="1:6" x14ac:dyDescent="0.25">
      <c r="A6" s="14" t="s">
        <v>37</v>
      </c>
      <c r="B6" s="15">
        <v>518741</v>
      </c>
      <c r="C6" s="15">
        <v>233378</v>
      </c>
      <c r="D6" s="15">
        <v>123866</v>
      </c>
      <c r="E6" s="15">
        <v>733361</v>
      </c>
      <c r="F6" s="16" t="s">
        <v>38</v>
      </c>
    </row>
    <row r="7" spans="1:6" x14ac:dyDescent="0.25">
      <c r="A7" s="11" t="s">
        <v>39</v>
      </c>
      <c r="B7" s="12">
        <v>711094</v>
      </c>
      <c r="C7" s="12">
        <v>521663</v>
      </c>
      <c r="D7" s="12">
        <v>232489</v>
      </c>
      <c r="E7" s="12">
        <v>438141</v>
      </c>
      <c r="F7" s="13" t="s">
        <v>40</v>
      </c>
    </row>
    <row r="8" spans="1:6" x14ac:dyDescent="0.25">
      <c r="A8" s="14" t="s">
        <v>41</v>
      </c>
      <c r="B8" s="15">
        <v>243716</v>
      </c>
      <c r="C8" s="15">
        <v>84353</v>
      </c>
      <c r="D8" s="15">
        <v>124676</v>
      </c>
      <c r="E8" s="15">
        <v>236827</v>
      </c>
      <c r="F8" s="16" t="s">
        <v>42</v>
      </c>
    </row>
    <row r="9" spans="1:6" x14ac:dyDescent="0.25">
      <c r="A9" s="11" t="s">
        <v>43</v>
      </c>
      <c r="B9" s="12">
        <v>0</v>
      </c>
      <c r="C9" s="12">
        <v>0</v>
      </c>
      <c r="D9" s="12">
        <v>0</v>
      </c>
      <c r="E9" s="12">
        <v>0</v>
      </c>
      <c r="F9" s="13" t="s">
        <v>44</v>
      </c>
    </row>
    <row r="10" spans="1:6" x14ac:dyDescent="0.25">
      <c r="A10" s="14" t="s">
        <v>45</v>
      </c>
      <c r="B10" s="15">
        <v>350886</v>
      </c>
      <c r="C10" s="15">
        <v>100370</v>
      </c>
      <c r="D10" s="15">
        <v>-126472</v>
      </c>
      <c r="E10" s="15">
        <v>-274066</v>
      </c>
      <c r="F10" s="16" t="s">
        <v>46</v>
      </c>
    </row>
    <row r="11" spans="1:6" x14ac:dyDescent="0.25">
      <c r="A11" s="11" t="s">
        <v>47</v>
      </c>
      <c r="B11" s="12">
        <v>135411</v>
      </c>
      <c r="C11" s="12">
        <v>-255894</v>
      </c>
      <c r="D11" s="12">
        <v>-150304</v>
      </c>
      <c r="E11" s="12">
        <v>-26481</v>
      </c>
      <c r="F11" s="13" t="s">
        <v>48</v>
      </c>
    </row>
    <row r="12" spans="1:6" x14ac:dyDescent="0.25">
      <c r="A12" s="14" t="s">
        <v>49</v>
      </c>
      <c r="B12" s="15">
        <v>0</v>
      </c>
      <c r="C12" s="15">
        <v>37775</v>
      </c>
      <c r="D12" s="15">
        <v>99379</v>
      </c>
      <c r="E12" s="15">
        <v>138972</v>
      </c>
      <c r="F12" s="16" t="s">
        <v>50</v>
      </c>
    </row>
    <row r="13" spans="1:6" x14ac:dyDescent="0.25">
      <c r="A13" s="11" t="s">
        <v>51</v>
      </c>
      <c r="B13" s="12">
        <v>162316</v>
      </c>
      <c r="C13" s="12">
        <v>469980</v>
      </c>
      <c r="D13" s="12">
        <v>251905</v>
      </c>
      <c r="E13" s="12">
        <v>318507</v>
      </c>
      <c r="F13" s="13" t="s">
        <v>52</v>
      </c>
    </row>
    <row r="14" spans="1:6" x14ac:dyDescent="0.25">
      <c r="A14" s="14" t="s">
        <v>53</v>
      </c>
      <c r="B14" s="15">
        <v>558966</v>
      </c>
      <c r="C14" s="15">
        <v>181086</v>
      </c>
      <c r="D14" s="15">
        <v>180041</v>
      </c>
      <c r="E14" s="15">
        <v>401563</v>
      </c>
      <c r="F14" s="16" t="s">
        <v>54</v>
      </c>
    </row>
    <row r="15" spans="1:6" x14ac:dyDescent="0.25">
      <c r="A15" s="11" t="s">
        <v>55</v>
      </c>
      <c r="B15" s="12">
        <v>592332</v>
      </c>
      <c r="C15" s="12">
        <v>483813</v>
      </c>
      <c r="D15" s="12">
        <v>384505</v>
      </c>
      <c r="E15" s="12">
        <v>1353595</v>
      </c>
      <c r="F15" s="13" t="s">
        <v>54</v>
      </c>
    </row>
    <row r="16" spans="1:6" x14ac:dyDescent="0.25">
      <c r="A16" s="14" t="s">
        <v>56</v>
      </c>
      <c r="B16" s="15">
        <v>954125</v>
      </c>
      <c r="C16" s="15">
        <v>-182045</v>
      </c>
      <c r="D16" s="15">
        <v>-647490</v>
      </c>
      <c r="E16" s="15">
        <v>-431917</v>
      </c>
      <c r="F16" s="16" t="s">
        <v>54</v>
      </c>
    </row>
    <row r="17" spans="1:6" x14ac:dyDescent="0.25">
      <c r="A17" s="11" t="s">
        <v>57</v>
      </c>
      <c r="B17" s="12">
        <v>242854</v>
      </c>
      <c r="C17" s="12">
        <v>34526</v>
      </c>
      <c r="D17" s="12">
        <v>60344</v>
      </c>
      <c r="E17" s="12">
        <v>80000</v>
      </c>
      <c r="F17" s="13" t="s">
        <v>58</v>
      </c>
    </row>
    <row r="18" spans="1:6" x14ac:dyDescent="0.25">
      <c r="A18" s="14" t="s">
        <v>59</v>
      </c>
      <c r="B18" s="15">
        <v>699959</v>
      </c>
      <c r="C18" s="15">
        <v>75831</v>
      </c>
      <c r="D18" s="15">
        <v>-389555</v>
      </c>
      <c r="E18" s="15">
        <v>-613752</v>
      </c>
      <c r="F18" s="16" t="s">
        <v>60</v>
      </c>
    </row>
    <row r="19" spans="1:6" x14ac:dyDescent="0.25">
      <c r="A19" s="11" t="s">
        <v>61</v>
      </c>
      <c r="B19" s="12">
        <v>0</v>
      </c>
      <c r="C19" s="12">
        <v>0</v>
      </c>
      <c r="D19" s="12">
        <v>120000</v>
      </c>
      <c r="E19" s="12">
        <v>268394</v>
      </c>
      <c r="F19" s="13" t="s">
        <v>62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9"/>
  <sheetViews>
    <sheetView showGridLines="0" zoomScaleNormal="100" workbookViewId="0">
      <selection activeCell="B7" sqref="B7"/>
    </sheetView>
  </sheetViews>
  <sheetFormatPr defaultColWidth="8.7109375" defaultRowHeight="15" x14ac:dyDescent="0.25"/>
  <cols>
    <col min="1" max="1" width="14" customWidth="1"/>
    <col min="2" max="9" width="13" customWidth="1"/>
  </cols>
  <sheetData>
    <row r="1" spans="1:9" ht="18" x14ac:dyDescent="0.25">
      <c r="A1" s="2" t="s">
        <v>63</v>
      </c>
    </row>
    <row r="2" spans="1:9" ht="42" customHeight="1" x14ac:dyDescent="0.25">
      <c r="A2" s="1" t="s">
        <v>64</v>
      </c>
      <c r="B2" s="1"/>
      <c r="C2" s="1"/>
      <c r="D2" s="1"/>
      <c r="E2" s="1"/>
      <c r="F2" s="1"/>
    </row>
    <row r="3" spans="1:9" x14ac:dyDescent="0.25">
      <c r="A3" s="3" t="s">
        <v>65</v>
      </c>
    </row>
    <row r="5" spans="1:9" x14ac:dyDescent="0.25">
      <c r="A5" s="17" t="s">
        <v>66</v>
      </c>
      <c r="B5" s="18" t="s">
        <v>67</v>
      </c>
      <c r="C5" s="18" t="s">
        <v>68</v>
      </c>
      <c r="D5" s="18" t="s">
        <v>69</v>
      </c>
      <c r="E5" s="18" t="s">
        <v>70</v>
      </c>
      <c r="F5" s="18" t="s">
        <v>71</v>
      </c>
      <c r="G5" s="18" t="s">
        <v>72</v>
      </c>
      <c r="H5" s="18" t="s">
        <v>73</v>
      </c>
      <c r="I5" s="18" t="s">
        <v>74</v>
      </c>
    </row>
    <row r="6" spans="1:9" x14ac:dyDescent="0.25">
      <c r="A6" s="11" t="s">
        <v>30</v>
      </c>
      <c r="B6" s="19">
        <f>Dados!B5+Dados!B6+Dados!B9</f>
        <v>2018482</v>
      </c>
      <c r="C6" s="19">
        <f>Dados!B7+Dados!B8</f>
        <v>954810</v>
      </c>
      <c r="D6" s="20">
        <f>C6/B6</f>
        <v>0.47303369561878678</v>
      </c>
      <c r="E6" s="19">
        <f>Dados!B10</f>
        <v>350886</v>
      </c>
      <c r="F6" s="19">
        <f>-MAX(30000,0.025*Dados!B5)</f>
        <v>-37493.525000000001</v>
      </c>
      <c r="G6" s="19">
        <f>Dados!B12+Dados!B13</f>
        <v>162316</v>
      </c>
      <c r="H6" s="20">
        <f>G6/Dados!B5</f>
        <v>0.10822935426850369</v>
      </c>
      <c r="I6" s="21" t="str">
        <f>IF(AND(D6&lt;=0.9,E6&gt;=F6,H6&lt;=0.7),"APROVADO","REPROVADO")</f>
        <v>APROVADO</v>
      </c>
    </row>
    <row r="7" spans="1:9" x14ac:dyDescent="0.25">
      <c r="A7" s="11" t="s">
        <v>31</v>
      </c>
      <c r="B7" s="19">
        <f>Dados!C5+Dados!C6+Dados!C9</f>
        <v>991924</v>
      </c>
      <c r="C7" s="19">
        <f>Dados!C7+Dados!C8</f>
        <v>606016</v>
      </c>
      <c r="D7" s="20">
        <f>C7/B7</f>
        <v>0.61095003246216439</v>
      </c>
      <c r="E7" s="19">
        <f>Dados!C10</f>
        <v>100370</v>
      </c>
      <c r="F7" s="19">
        <f>-MAX(30000,0.025*Dados!C5)</f>
        <v>-30000</v>
      </c>
      <c r="G7" s="19">
        <f>Dados!C12+Dados!C13</f>
        <v>507755</v>
      </c>
      <c r="H7" s="20">
        <f>G7/Dados!C5</f>
        <v>0.66937931252686056</v>
      </c>
      <c r="I7" s="21" t="str">
        <f>IF(AND(D7&lt;=0.9,E7&gt;=F7,H7&lt;=0.7),"APROVADO","REPROVADO")</f>
        <v>APROVADO</v>
      </c>
    </row>
    <row r="8" spans="1:9" x14ac:dyDescent="0.25">
      <c r="A8" s="11" t="s">
        <v>32</v>
      </c>
      <c r="B8" s="19">
        <f>Dados!D5+Dados!D6+Dados!D9</f>
        <v>537744</v>
      </c>
      <c r="C8" s="19">
        <f>Dados!D7+Dados!D8</f>
        <v>357165</v>
      </c>
      <c r="D8" s="20">
        <f>C8/B8</f>
        <v>0.66419151120235653</v>
      </c>
      <c r="E8" s="19">
        <f>Dados!D10</f>
        <v>-126472</v>
      </c>
      <c r="F8" s="19">
        <f>-MAX(30000,0.025*Dados!D5)</f>
        <v>-30000</v>
      </c>
      <c r="G8" s="19">
        <f>Dados!D12+Dados!D13</f>
        <v>351284</v>
      </c>
      <c r="H8" s="20">
        <f>G8/Dados!D5</f>
        <v>0.8487621956228647</v>
      </c>
      <c r="I8" s="21" t="str">
        <f>IF(AND(D8&lt;=0.9,E8&gt;=F8,H8&lt;=0.7),"APROVADO","REPROVADO")</f>
        <v>REPROVADO</v>
      </c>
    </row>
    <row r="9" spans="1:9" x14ac:dyDescent="0.25">
      <c r="A9" s="11" t="s">
        <v>33</v>
      </c>
      <c r="B9" s="19">
        <f>Dados!E5+Dados!E6+Dados!E9</f>
        <v>1307367</v>
      </c>
      <c r="C9" s="19">
        <f>Dados!E7+Dados!E8</f>
        <v>674968</v>
      </c>
      <c r="D9" s="20">
        <f>C9/B9</f>
        <v>0.51628043234990639</v>
      </c>
      <c r="E9" s="19">
        <f>Dados!E10</f>
        <v>-274066</v>
      </c>
      <c r="F9" s="19">
        <f>-MAX(30000,0.025*Dados!E5)</f>
        <v>-30000</v>
      </c>
      <c r="G9" s="19">
        <f>Dados!E12+Dados!E13</f>
        <v>457479</v>
      </c>
      <c r="H9" s="20">
        <f>G9/Dados!E5</f>
        <v>0.79699341121869804</v>
      </c>
      <c r="I9" s="21" t="str">
        <f>IF(AND(D9&lt;=0.9,E9&gt;=F9,H9&lt;=0.7),"APROVADO","REPROVADO")</f>
        <v>REPROVADO</v>
      </c>
    </row>
  </sheetData>
  <mergeCells count="1">
    <mergeCell ref="A2:F2"/>
  </mergeCells>
  <conditionalFormatting sqref="I6:I9">
    <cfRule type="cellIs" dxfId="15" priority="2" operator="equal">
      <formula>"APROVADO"</formula>
    </cfRule>
    <cfRule type="cellIs" dxfId="14" priority="3" operator="equal">
      <formula>"REPROVADO"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9"/>
  <sheetViews>
    <sheetView showGridLines="0" zoomScaleNormal="100" workbookViewId="0"/>
  </sheetViews>
  <sheetFormatPr defaultColWidth="8.7109375" defaultRowHeight="15" x14ac:dyDescent="0.25"/>
  <cols>
    <col min="1" max="1" width="14" customWidth="1"/>
    <col min="2" max="7" width="18" customWidth="1"/>
  </cols>
  <sheetData>
    <row r="1" spans="1:7" ht="18" x14ac:dyDescent="0.25">
      <c r="A1" s="2" t="s">
        <v>75</v>
      </c>
    </row>
    <row r="2" spans="1:7" ht="42" customHeight="1" x14ac:dyDescent="0.25">
      <c r="A2" s="1" t="s">
        <v>76</v>
      </c>
      <c r="B2" s="1"/>
      <c r="C2" s="1"/>
      <c r="D2" s="1"/>
      <c r="E2" s="1"/>
      <c r="F2" s="1"/>
    </row>
    <row r="3" spans="1:7" x14ac:dyDescent="0.25">
      <c r="A3" s="3" t="s">
        <v>77</v>
      </c>
    </row>
    <row r="5" spans="1:7" x14ac:dyDescent="0.25">
      <c r="A5" s="22" t="s">
        <v>66</v>
      </c>
      <c r="B5" s="23" t="s">
        <v>78</v>
      </c>
      <c r="C5" s="23" t="s">
        <v>79</v>
      </c>
      <c r="D5" s="23" t="s">
        <v>80</v>
      </c>
      <c r="E5" s="23" t="s">
        <v>81</v>
      </c>
      <c r="F5" s="23" t="s">
        <v>82</v>
      </c>
      <c r="G5" s="23" t="s">
        <v>83</v>
      </c>
    </row>
    <row r="6" spans="1:7" x14ac:dyDescent="0.25">
      <c r="A6" s="11" t="s">
        <v>30</v>
      </c>
      <c r="B6" s="19">
        <f>Dados!B18</f>
        <v>699959</v>
      </c>
      <c r="C6" s="19">
        <f>Dados!B19</f>
        <v>0</v>
      </c>
      <c r="D6" s="24">
        <v>-700000</v>
      </c>
      <c r="E6" s="21" t="str">
        <f>IF(B6&gt;=D6,"APROVADO","REPROVADO")</f>
        <v>APROVADO</v>
      </c>
      <c r="F6" s="24">
        <v>-100000</v>
      </c>
      <c r="G6" s="21" t="str">
        <f>IF(OR(B6&gt;=-100000,B6+C6&gt;=-100000),"APROVADO","REPROVADO")</f>
        <v>APROVADO</v>
      </c>
    </row>
    <row r="7" spans="1:7" x14ac:dyDescent="0.25">
      <c r="A7" s="11" t="s">
        <v>31</v>
      </c>
      <c r="B7" s="19">
        <f>Dados!C18</f>
        <v>75831</v>
      </c>
      <c r="C7" s="19">
        <f>Dados!C19</f>
        <v>0</v>
      </c>
      <c r="D7" s="24">
        <v>-700000</v>
      </c>
      <c r="E7" s="21" t="str">
        <f>IF(B7&gt;=D7,"APROVADO","REPROVADO")</f>
        <v>APROVADO</v>
      </c>
      <c r="F7" s="24">
        <v>-100000</v>
      </c>
      <c r="G7" s="21" t="str">
        <f>IF(OR(B7&gt;=-100000,B7+C7&gt;=-100000),"APROVADO","REPROVADO")</f>
        <v>APROVADO</v>
      </c>
    </row>
    <row r="8" spans="1:7" x14ac:dyDescent="0.25">
      <c r="A8" s="11" t="s">
        <v>32</v>
      </c>
      <c r="B8" s="19">
        <f>Dados!D18</f>
        <v>-389555</v>
      </c>
      <c r="C8" s="19">
        <f>Dados!D19</f>
        <v>120000</v>
      </c>
      <c r="D8" s="24">
        <v>-700000</v>
      </c>
      <c r="E8" s="21" t="str">
        <f>IF(B8&gt;=D8,"APROVADO","REPROVADO")</f>
        <v>APROVADO</v>
      </c>
      <c r="F8" s="24">
        <v>-100000</v>
      </c>
      <c r="G8" s="21" t="str">
        <f>IF(OR(B8&gt;=-100000,B8+C8&gt;=-100000),"APROVADO","REPROVADO")</f>
        <v>REPROVADO</v>
      </c>
    </row>
    <row r="9" spans="1:7" x14ac:dyDescent="0.25">
      <c r="A9" s="11" t="s">
        <v>33</v>
      </c>
      <c r="B9" s="19">
        <f>Dados!E18</f>
        <v>-613752</v>
      </c>
      <c r="C9" s="19">
        <f>Dados!E19</f>
        <v>268394</v>
      </c>
      <c r="D9" s="24">
        <v>-700000</v>
      </c>
      <c r="E9" s="21" t="str">
        <f>IF(B9&gt;=D9,"APROVADO","REPROVADO")</f>
        <v>APROVADO</v>
      </c>
      <c r="F9" s="24">
        <v>-100000</v>
      </c>
      <c r="G9" s="21" t="str">
        <f>IF(OR(B9&gt;=-100000,B9+C9&gt;=-100000),"APROVADO","REPROVADO")</f>
        <v>REPROVADO</v>
      </c>
    </row>
  </sheetData>
  <mergeCells count="1">
    <mergeCell ref="A2:F2"/>
  </mergeCells>
  <conditionalFormatting sqref="E6:E9">
    <cfRule type="cellIs" dxfId="13" priority="2" operator="equal">
      <formula>"APROVADO"</formula>
    </cfRule>
    <cfRule type="cellIs" dxfId="12" priority="3" operator="equal">
      <formula>"REPROVADO"</formula>
    </cfRule>
  </conditionalFormatting>
  <conditionalFormatting sqref="G6:G9">
    <cfRule type="cellIs" dxfId="11" priority="4" operator="equal">
      <formula>"APROVADO"</formula>
    </cfRule>
    <cfRule type="cellIs" dxfId="10" priority="5" operator="equal">
      <formula>"REPROVADO"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9"/>
  <sheetViews>
    <sheetView showGridLines="0" zoomScaleNormal="100" workbookViewId="0"/>
  </sheetViews>
  <sheetFormatPr defaultColWidth="8.7109375" defaultRowHeight="15" x14ac:dyDescent="0.25"/>
  <cols>
    <col min="1" max="1" width="14" customWidth="1"/>
    <col min="2" max="7" width="15" customWidth="1"/>
  </cols>
  <sheetData>
    <row r="1" spans="1:7" ht="18" x14ac:dyDescent="0.25">
      <c r="A1" s="2" t="s">
        <v>84</v>
      </c>
    </row>
    <row r="2" spans="1:7" ht="42" customHeight="1" x14ac:dyDescent="0.25">
      <c r="A2" s="1" t="s">
        <v>85</v>
      </c>
      <c r="B2" s="1"/>
      <c r="C2" s="1"/>
      <c r="D2" s="1"/>
      <c r="E2" s="1"/>
      <c r="F2" s="1"/>
    </row>
    <row r="3" spans="1:7" x14ac:dyDescent="0.25">
      <c r="A3" s="3" t="s">
        <v>86</v>
      </c>
    </row>
    <row r="5" spans="1:7" x14ac:dyDescent="0.25">
      <c r="A5" s="25" t="s">
        <v>66</v>
      </c>
      <c r="B5" s="26" t="s">
        <v>87</v>
      </c>
      <c r="C5" s="26" t="s">
        <v>88</v>
      </c>
      <c r="D5" s="26" t="s">
        <v>89</v>
      </c>
      <c r="E5" s="26" t="s">
        <v>90</v>
      </c>
      <c r="F5" s="26" t="s">
        <v>91</v>
      </c>
      <c r="G5" s="26" t="s">
        <v>74</v>
      </c>
    </row>
    <row r="6" spans="1:7" x14ac:dyDescent="0.25">
      <c r="A6" s="11" t="s">
        <v>30</v>
      </c>
      <c r="B6" s="19">
        <f>Dados!B5</f>
        <v>1499741</v>
      </c>
      <c r="C6" s="19">
        <f>Dados!B12+Dados!B13</f>
        <v>162316</v>
      </c>
      <c r="D6" s="24">
        <f>B6-C6</f>
        <v>1337425</v>
      </c>
      <c r="E6" s="19">
        <f>'1-SSF Brasil'!C6</f>
        <v>954810</v>
      </c>
      <c r="F6" s="24">
        <f>D6-E6</f>
        <v>382615</v>
      </c>
      <c r="G6" s="21" t="str">
        <f>IF(F6&gt;=0,"APROVADO","REPROVADO")</f>
        <v>APROVADO</v>
      </c>
    </row>
    <row r="7" spans="1:7" x14ac:dyDescent="0.25">
      <c r="A7" s="11" t="s">
        <v>31</v>
      </c>
      <c r="B7" s="19">
        <f>Dados!C5</f>
        <v>758546</v>
      </c>
      <c r="C7" s="19">
        <f>Dados!C12+Dados!C13</f>
        <v>507755</v>
      </c>
      <c r="D7" s="24">
        <f>B7-C7</f>
        <v>250791</v>
      </c>
      <c r="E7" s="19">
        <f>'1-SSF Brasil'!C7</f>
        <v>606016</v>
      </c>
      <c r="F7" s="24">
        <f>D7-E7</f>
        <v>-355225</v>
      </c>
      <c r="G7" s="21" t="str">
        <f>IF(F7&gt;=0,"APROVADO","REPROVADO")</f>
        <v>REPROVADO</v>
      </c>
    </row>
    <row r="8" spans="1:7" x14ac:dyDescent="0.25">
      <c r="A8" s="11" t="s">
        <v>32</v>
      </c>
      <c r="B8" s="19">
        <f>Dados!D5</f>
        <v>413878</v>
      </c>
      <c r="C8" s="19">
        <f>Dados!D12+Dados!D13</f>
        <v>351284</v>
      </c>
      <c r="D8" s="24">
        <f>B8-C8</f>
        <v>62594</v>
      </c>
      <c r="E8" s="19">
        <f>'1-SSF Brasil'!C8</f>
        <v>357165</v>
      </c>
      <c r="F8" s="24">
        <f>D8-E8</f>
        <v>-294571</v>
      </c>
      <c r="G8" s="21" t="str">
        <f>IF(F8&gt;=0,"APROVADO","REPROVADO")</f>
        <v>REPROVADO</v>
      </c>
    </row>
    <row r="9" spans="1:7" x14ac:dyDescent="0.25">
      <c r="A9" s="11" t="s">
        <v>33</v>
      </c>
      <c r="B9" s="19">
        <f>Dados!E5</f>
        <v>574006</v>
      </c>
      <c r="C9" s="19">
        <f>Dados!E12+Dados!E13</f>
        <v>457479</v>
      </c>
      <c r="D9" s="24">
        <f>B9-C9</f>
        <v>116527</v>
      </c>
      <c r="E9" s="19">
        <f>'1-SSF Brasil'!C9</f>
        <v>674968</v>
      </c>
      <c r="F9" s="24">
        <f>D9-E9</f>
        <v>-558441</v>
      </c>
      <c r="G9" s="21" t="str">
        <f>IF(F9&gt;=0,"APROVADO","REPROVADO")</f>
        <v>REPROVADO</v>
      </c>
    </row>
  </sheetData>
  <mergeCells count="1">
    <mergeCell ref="A2:F2"/>
  </mergeCells>
  <conditionalFormatting sqref="G6:G9">
    <cfRule type="cellIs" dxfId="9" priority="2" operator="equal">
      <formula>"APROVADO"</formula>
    </cfRule>
    <cfRule type="cellIs" dxfId="8" priority="3" operator="equal">
      <formula>"REPROVADO"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9"/>
  <sheetViews>
    <sheetView showGridLines="0" zoomScaleNormal="100" workbookViewId="0"/>
  </sheetViews>
  <sheetFormatPr defaultColWidth="8.7109375" defaultRowHeight="15" x14ac:dyDescent="0.25"/>
  <cols>
    <col min="1" max="1" width="14" customWidth="1"/>
    <col min="2" max="8" width="12" customWidth="1"/>
  </cols>
  <sheetData>
    <row r="1" spans="1:8" ht="18" x14ac:dyDescent="0.25">
      <c r="A1" s="2" t="s">
        <v>92</v>
      </c>
    </row>
    <row r="2" spans="1:8" ht="42" customHeight="1" x14ac:dyDescent="0.25">
      <c r="A2" s="1" t="s">
        <v>93</v>
      </c>
      <c r="B2" s="1"/>
      <c r="C2" s="1"/>
      <c r="D2" s="1"/>
      <c r="E2" s="1"/>
      <c r="F2" s="1"/>
    </row>
    <row r="3" spans="1:8" x14ac:dyDescent="0.25">
      <c r="A3" s="3" t="s">
        <v>94</v>
      </c>
    </row>
    <row r="5" spans="1:8" x14ac:dyDescent="0.25">
      <c r="A5" s="27" t="s">
        <v>66</v>
      </c>
      <c r="B5" s="28" t="s">
        <v>95</v>
      </c>
      <c r="C5" s="28" t="s">
        <v>96</v>
      </c>
      <c r="D5" s="28" t="s">
        <v>97</v>
      </c>
      <c r="E5" s="28" t="s">
        <v>98</v>
      </c>
      <c r="F5" s="28" t="s">
        <v>99</v>
      </c>
      <c r="G5" s="28" t="s">
        <v>100</v>
      </c>
      <c r="H5" s="28" t="s">
        <v>74</v>
      </c>
    </row>
    <row r="6" spans="1:8" x14ac:dyDescent="0.25">
      <c r="A6" s="11" t="s">
        <v>30</v>
      </c>
      <c r="B6" s="29">
        <f>Dados!B14/Dados!B15</f>
        <v>0.94367010392820239</v>
      </c>
      <c r="C6" s="21" t="str">
        <f>IF(B6&gt;=0.8,"✓","✗")</f>
        <v>✓</v>
      </c>
      <c r="D6" s="29">
        <f>(Dados!B12+Dados!B13)/(Dados!B5+Dados!B6)</f>
        <v>8.0414886038121719E-2</v>
      </c>
      <c r="E6" s="21" t="str">
        <f>IF(D6&lt;=1.2,"✓","✗")</f>
        <v>✓</v>
      </c>
      <c r="F6" s="29">
        <f>(Dados!B7+Dados!B8)/(Dados!B5+Dados!B6)</f>
        <v>0.47303369561878678</v>
      </c>
      <c r="G6" s="21" t="str">
        <f>IF(F6&lt;=0.7,"✓","✗")</f>
        <v>✓</v>
      </c>
      <c r="H6" s="21" t="str">
        <f>IF(AND(B6&gt;=0.8,D6&lt;=1.2,F6&lt;=0.7),"APROVADO","REPROVADO")</f>
        <v>APROVADO</v>
      </c>
    </row>
    <row r="7" spans="1:8" x14ac:dyDescent="0.25">
      <c r="A7" s="11" t="s">
        <v>31</v>
      </c>
      <c r="B7" s="29">
        <f>Dados!C14/Dados!C15</f>
        <v>0.37428923985093415</v>
      </c>
      <c r="C7" s="21" t="str">
        <f>IF(B7&gt;=0.8,"✓","✗")</f>
        <v>✗</v>
      </c>
      <c r="D7" s="29">
        <f>(Dados!C12+Dados!C13)/(Dados!C5+Dados!C6)</f>
        <v>0.51188901569071821</v>
      </c>
      <c r="E7" s="21" t="str">
        <f>IF(D7&lt;=1.2,"✓","✗")</f>
        <v>✓</v>
      </c>
      <c r="F7" s="29">
        <f>(Dados!C7+Dados!C8)/(Dados!C5+Dados!C6)</f>
        <v>0.61095003246216439</v>
      </c>
      <c r="G7" s="21" t="str">
        <f>IF(F7&lt;=0.7,"✓","✗")</f>
        <v>✓</v>
      </c>
      <c r="H7" s="21" t="str">
        <f>IF(AND(B7&gt;=0.8,D7&lt;=1.2,F7&lt;=0.7),"APROVADO","REPROVADO")</f>
        <v>REPROVADO</v>
      </c>
    </row>
    <row r="8" spans="1:8" x14ac:dyDescent="0.25">
      <c r="A8" s="11" t="s">
        <v>32</v>
      </c>
      <c r="B8" s="29">
        <f>Dados!D14/Dados!D15</f>
        <v>0.46824098516274171</v>
      </c>
      <c r="C8" s="21" t="str">
        <f>IF(B8&gt;=0.8,"✓","✗")</f>
        <v>✗</v>
      </c>
      <c r="D8" s="29">
        <f>(Dados!D12+Dados!D13)/(Dados!D5+Dados!D6)</f>
        <v>0.65325508048439407</v>
      </c>
      <c r="E8" s="21" t="str">
        <f>IF(D8&lt;=1.2,"✓","✗")</f>
        <v>✓</v>
      </c>
      <c r="F8" s="29">
        <f>(Dados!D7+Dados!D8)/(Dados!D5+Dados!D6)</f>
        <v>0.66419151120235653</v>
      </c>
      <c r="G8" s="21" t="str">
        <f>IF(F8&lt;=0.7,"✓","✗")</f>
        <v>✓</v>
      </c>
      <c r="H8" s="21" t="str">
        <f>IF(AND(B8&gt;=0.8,D8&lt;=1.2,F8&lt;=0.7),"APROVADO","REPROVADO")</f>
        <v>REPROVADO</v>
      </c>
    </row>
    <row r="9" spans="1:8" x14ac:dyDescent="0.25">
      <c r="A9" s="11" t="s">
        <v>33</v>
      </c>
      <c r="B9" s="29">
        <f>Dados!E14/Dados!E15</f>
        <v>0.29666406864682565</v>
      </c>
      <c r="C9" s="21" t="str">
        <f>IF(B9&gt;=0.8,"✓","✗")</f>
        <v>✗</v>
      </c>
      <c r="D9" s="29">
        <f>(Dados!E12+Dados!E13)/(Dados!E5+Dados!E6)</f>
        <v>0.34992393107673669</v>
      </c>
      <c r="E9" s="21" t="str">
        <f>IF(D9&lt;=1.2,"✓","✗")</f>
        <v>✓</v>
      </c>
      <c r="F9" s="29">
        <f>(Dados!E7+Dados!E8)/(Dados!E5+Dados!E6)</f>
        <v>0.51628043234990639</v>
      </c>
      <c r="G9" s="21" t="str">
        <f>IF(F9&lt;=0.7,"✓","✗")</f>
        <v>✓</v>
      </c>
      <c r="H9" s="21" t="str">
        <f>IF(AND(B9&gt;=0.8,D9&lt;=1.2,F9&lt;=0.7),"APROVADO","REPROVADO")</f>
        <v>REPROVADO</v>
      </c>
    </row>
  </sheetData>
  <mergeCells count="1">
    <mergeCell ref="A2:F2"/>
  </mergeCells>
  <conditionalFormatting sqref="H6:H9">
    <cfRule type="cellIs" dxfId="7" priority="2" operator="equal">
      <formula>"APROVADO"</formula>
    </cfRule>
    <cfRule type="cellIs" dxfId="6" priority="3" operator="equal">
      <formula>"REPROVADO"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9"/>
  <sheetViews>
    <sheetView showGridLines="0" tabSelected="1" zoomScaleNormal="100" workbookViewId="0"/>
  </sheetViews>
  <sheetFormatPr defaultColWidth="8.7109375" defaultRowHeight="15" x14ac:dyDescent="0.25"/>
  <cols>
    <col min="1" max="1" width="14" customWidth="1"/>
    <col min="2" max="4" width="18" customWidth="1"/>
  </cols>
  <sheetData>
    <row r="1" spans="1:6" ht="18" x14ac:dyDescent="0.25">
      <c r="A1" s="2" t="s">
        <v>101</v>
      </c>
    </row>
    <row r="2" spans="1:6" ht="42" customHeight="1" x14ac:dyDescent="0.25">
      <c r="A2" s="1" t="s">
        <v>102</v>
      </c>
      <c r="B2" s="1"/>
      <c r="C2" s="1"/>
      <c r="D2" s="1"/>
      <c r="E2" s="1"/>
      <c r="F2" s="1"/>
    </row>
    <row r="3" spans="1:6" x14ac:dyDescent="0.25">
      <c r="A3" s="3" t="s">
        <v>103</v>
      </c>
    </row>
    <row r="5" spans="1:6" x14ac:dyDescent="0.25">
      <c r="A5" s="30" t="s">
        <v>66</v>
      </c>
      <c r="B5" s="31" t="s">
        <v>56</v>
      </c>
      <c r="C5" s="31" t="s">
        <v>104</v>
      </c>
      <c r="D5" s="31" t="s">
        <v>105</v>
      </c>
    </row>
    <row r="6" spans="1:6" x14ac:dyDescent="0.25">
      <c r="A6" s="11" t="s">
        <v>30</v>
      </c>
      <c r="B6" s="19">
        <f>Dados!B16</f>
        <v>954125</v>
      </c>
      <c r="C6" s="19">
        <f>Dados!B17</f>
        <v>242854</v>
      </c>
      <c r="D6" s="21" t="str">
        <f>IF(B6&gt;=0,"APROVADO","REPROVADO")</f>
        <v>APROVADO</v>
      </c>
    </row>
    <row r="7" spans="1:6" x14ac:dyDescent="0.25">
      <c r="A7" s="11" t="s">
        <v>31</v>
      </c>
      <c r="B7" s="19">
        <f>Dados!C16</f>
        <v>-182045</v>
      </c>
      <c r="C7" s="19">
        <f>Dados!C17</f>
        <v>34526</v>
      </c>
      <c r="D7" s="21" t="str">
        <f>IF(B7&gt;=0,"APROVADO","REPROVADO")</f>
        <v>REPROVADO</v>
      </c>
    </row>
    <row r="8" spans="1:6" x14ac:dyDescent="0.25">
      <c r="A8" s="11" t="s">
        <v>32</v>
      </c>
      <c r="B8" s="19">
        <f>Dados!D16</f>
        <v>-647490</v>
      </c>
      <c r="C8" s="19">
        <f>Dados!D17</f>
        <v>60344</v>
      </c>
      <c r="D8" s="21" t="str">
        <f>IF(B8&gt;=0,"APROVADO","REPROVADO")</f>
        <v>REPROVADO</v>
      </c>
    </row>
    <row r="9" spans="1:6" x14ac:dyDescent="0.25">
      <c r="A9" s="11" t="s">
        <v>33</v>
      </c>
      <c r="B9" s="19">
        <f>Dados!E16</f>
        <v>-431917</v>
      </c>
      <c r="C9" s="19">
        <f>Dados!E17</f>
        <v>80000</v>
      </c>
      <c r="D9" s="21" t="str">
        <f>IF(B9&gt;=0,"APROVADO","REPROVADO")</f>
        <v>REPROVADO</v>
      </c>
    </row>
  </sheetData>
  <mergeCells count="1">
    <mergeCell ref="A2:F2"/>
  </mergeCells>
  <conditionalFormatting sqref="D6:D9">
    <cfRule type="cellIs" dxfId="5" priority="2" operator="equal">
      <formula>"APROVADO"</formula>
    </cfRule>
    <cfRule type="cellIs" dxfId="4" priority="3" operator="equal">
      <formula>"REPROVADO"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9"/>
  <sheetViews>
    <sheetView showGridLines="0" zoomScaleNormal="100" workbookViewId="0"/>
  </sheetViews>
  <sheetFormatPr defaultColWidth="8.7109375" defaultRowHeight="15" x14ac:dyDescent="0.25"/>
  <cols>
    <col min="1" max="1" width="14" customWidth="1"/>
    <col min="2" max="5" width="16" customWidth="1"/>
  </cols>
  <sheetData>
    <row r="1" spans="1:6" ht="18" x14ac:dyDescent="0.25">
      <c r="A1" s="2" t="s">
        <v>106</v>
      </c>
    </row>
    <row r="2" spans="1:6" ht="42" customHeight="1" x14ac:dyDescent="0.25">
      <c r="A2" s="1" t="s">
        <v>107</v>
      </c>
      <c r="B2" s="1"/>
      <c r="C2" s="1"/>
      <c r="D2" s="1"/>
      <c r="E2" s="1"/>
      <c r="F2" s="1"/>
    </row>
    <row r="3" spans="1:6" x14ac:dyDescent="0.25">
      <c r="A3" s="3" t="s">
        <v>108</v>
      </c>
    </row>
    <row r="5" spans="1:6" x14ac:dyDescent="0.25">
      <c r="A5" s="32" t="s">
        <v>66</v>
      </c>
      <c r="B5" s="33" t="s">
        <v>109</v>
      </c>
      <c r="C5" s="33" t="s">
        <v>110</v>
      </c>
      <c r="D5" s="33" t="s">
        <v>111</v>
      </c>
      <c r="E5" s="33" t="s">
        <v>74</v>
      </c>
    </row>
    <row r="6" spans="1:6" x14ac:dyDescent="0.25">
      <c r="A6" s="11" t="s">
        <v>30</v>
      </c>
      <c r="B6" s="19">
        <f>Dados!B11</f>
        <v>135411</v>
      </c>
      <c r="C6" s="19">
        <f>Dados!B6</f>
        <v>518741</v>
      </c>
      <c r="D6" s="19">
        <f>Dados!B9</f>
        <v>0</v>
      </c>
      <c r="E6" s="21" t="str">
        <f>IF(B6&gt;=0,"APROVADO","REPROVADO")</f>
        <v>APROVADO</v>
      </c>
    </row>
    <row r="7" spans="1:6" x14ac:dyDescent="0.25">
      <c r="A7" s="11" t="s">
        <v>31</v>
      </c>
      <c r="B7" s="19">
        <f>Dados!C11</f>
        <v>-255894</v>
      </c>
      <c r="C7" s="19">
        <f>Dados!C6</f>
        <v>233378</v>
      </c>
      <c r="D7" s="19">
        <f>Dados!C9</f>
        <v>0</v>
      </c>
      <c r="E7" s="21" t="str">
        <f>IF(B7&gt;=0,"APROVADO","REPROVADO")</f>
        <v>REPROVADO</v>
      </c>
    </row>
    <row r="8" spans="1:6" x14ac:dyDescent="0.25">
      <c r="A8" s="11" t="s">
        <v>32</v>
      </c>
      <c r="B8" s="19">
        <f>Dados!D11</f>
        <v>-150304</v>
      </c>
      <c r="C8" s="19">
        <f>Dados!D6</f>
        <v>123866</v>
      </c>
      <c r="D8" s="19">
        <f>Dados!D9</f>
        <v>0</v>
      </c>
      <c r="E8" s="21" t="str">
        <f>IF(B8&gt;=0,"APROVADO","REPROVADO")</f>
        <v>REPROVADO</v>
      </c>
    </row>
    <row r="9" spans="1:6" x14ac:dyDescent="0.25">
      <c r="A9" s="11" t="s">
        <v>33</v>
      </c>
      <c r="B9" s="19">
        <f>Dados!E11</f>
        <v>-26481</v>
      </c>
      <c r="C9" s="19">
        <f>Dados!E6</f>
        <v>733361</v>
      </c>
      <c r="D9" s="19">
        <f>Dados!E9</f>
        <v>0</v>
      </c>
      <c r="E9" s="21" t="str">
        <f>IF(B9&gt;=0,"APROVADO","REPROVADO")</f>
        <v>REPROVADO</v>
      </c>
    </row>
  </sheetData>
  <mergeCells count="1">
    <mergeCell ref="A2:F2"/>
  </mergeCells>
  <conditionalFormatting sqref="E6:E9">
    <cfRule type="cellIs" dxfId="3" priority="2" operator="equal">
      <formula>"APROVADO"</formula>
    </cfRule>
    <cfRule type="cellIs" dxfId="2" priority="3" operator="equal">
      <formula>"REPROVADO"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9"/>
  <sheetViews>
    <sheetView showGridLines="0" zoomScaleNormal="100" workbookViewId="0"/>
  </sheetViews>
  <sheetFormatPr defaultColWidth="8.7109375" defaultRowHeight="15" x14ac:dyDescent="0.25"/>
  <cols>
    <col min="1" max="1" width="14" customWidth="1"/>
    <col min="2" max="7" width="13" customWidth="1"/>
  </cols>
  <sheetData>
    <row r="1" spans="1:7" ht="18" x14ac:dyDescent="0.25">
      <c r="A1" s="2" t="s">
        <v>112</v>
      </c>
    </row>
    <row r="2" spans="1:7" ht="42" customHeight="1" x14ac:dyDescent="0.25">
      <c r="A2" s="1" t="s">
        <v>113</v>
      </c>
      <c r="B2" s="1"/>
      <c r="C2" s="1"/>
      <c r="D2" s="1"/>
      <c r="E2" s="1"/>
      <c r="F2" s="1"/>
    </row>
    <row r="3" spans="1:7" x14ac:dyDescent="0.25">
      <c r="A3" s="3" t="s">
        <v>114</v>
      </c>
    </row>
    <row r="5" spans="1:7" x14ac:dyDescent="0.25">
      <c r="A5" s="9" t="s">
        <v>66</v>
      </c>
      <c r="B5" s="10" t="s">
        <v>115</v>
      </c>
      <c r="C5" s="10" t="s">
        <v>116</v>
      </c>
      <c r="D5" s="10" t="s">
        <v>117</v>
      </c>
      <c r="E5" s="10" t="s">
        <v>118</v>
      </c>
      <c r="F5" s="10" t="s">
        <v>119</v>
      </c>
      <c r="G5" s="10" t="s">
        <v>120</v>
      </c>
    </row>
    <row r="6" spans="1:7" x14ac:dyDescent="0.25">
      <c r="A6" s="11" t="s">
        <v>30</v>
      </c>
      <c r="B6" s="34" t="str">
        <f>'1-SSF Brasil'!I6</f>
        <v>APROVADO</v>
      </c>
      <c r="C6" s="34" t="str">
        <f>'2-Inglaterra PSR'!G6</f>
        <v>APROVADO</v>
      </c>
      <c r="D6" s="34" t="str">
        <f>'3-Espanha LCPD'!G6</f>
        <v>APROVADO</v>
      </c>
      <c r="E6" s="34" t="str">
        <f>'4-Itália FIGC'!H6</f>
        <v>APROVADO</v>
      </c>
      <c r="F6" s="34" t="str">
        <f>'5-Alemanha DFL'!D6</f>
        <v>APROVADO</v>
      </c>
      <c r="G6" s="34" t="str">
        <f>'6-França DNCG'!E6</f>
        <v>APROVADO</v>
      </c>
    </row>
    <row r="7" spans="1:7" x14ac:dyDescent="0.25">
      <c r="A7" s="11" t="s">
        <v>31</v>
      </c>
      <c r="B7" s="34" t="str">
        <f>'1-SSF Brasil'!I7</f>
        <v>APROVADO</v>
      </c>
      <c r="C7" s="34" t="str">
        <f>'2-Inglaterra PSR'!G7</f>
        <v>APROVADO</v>
      </c>
      <c r="D7" s="34" t="str">
        <f>'3-Espanha LCPD'!G7</f>
        <v>REPROVADO</v>
      </c>
      <c r="E7" s="34" t="str">
        <f>'4-Itália FIGC'!H7</f>
        <v>REPROVADO</v>
      </c>
      <c r="F7" s="34" t="str">
        <f>'5-Alemanha DFL'!D7</f>
        <v>REPROVADO</v>
      </c>
      <c r="G7" s="34" t="str">
        <f>'6-França DNCG'!E7</f>
        <v>REPROVADO</v>
      </c>
    </row>
    <row r="8" spans="1:7" x14ac:dyDescent="0.25">
      <c r="A8" s="11" t="s">
        <v>32</v>
      </c>
      <c r="B8" s="34" t="str">
        <f>'1-SSF Brasil'!I8</f>
        <v>REPROVADO</v>
      </c>
      <c r="C8" s="34" t="str">
        <f>'2-Inglaterra PSR'!G8</f>
        <v>REPROVADO</v>
      </c>
      <c r="D8" s="34" t="str">
        <f>'3-Espanha LCPD'!G8</f>
        <v>REPROVADO</v>
      </c>
      <c r="E8" s="34" t="str">
        <f>'4-Itália FIGC'!H8</f>
        <v>REPROVADO</v>
      </c>
      <c r="F8" s="34" t="str">
        <f>'5-Alemanha DFL'!D8</f>
        <v>REPROVADO</v>
      </c>
      <c r="G8" s="34" t="str">
        <f>'6-França DNCG'!E8</f>
        <v>REPROVADO</v>
      </c>
    </row>
    <row r="9" spans="1:7" x14ac:dyDescent="0.25">
      <c r="A9" s="11" t="s">
        <v>33</v>
      </c>
      <c r="B9" s="34" t="str">
        <f>'1-SSF Brasil'!I9</f>
        <v>REPROVADO</v>
      </c>
      <c r="C9" s="34" t="str">
        <f>'2-Inglaterra PSR'!G9</f>
        <v>REPROVADO</v>
      </c>
      <c r="D9" s="34" t="str">
        <f>'3-Espanha LCPD'!G9</f>
        <v>REPROVADO</v>
      </c>
      <c r="E9" s="34" t="str">
        <f>'4-Itália FIGC'!H9</f>
        <v>REPROVADO</v>
      </c>
      <c r="F9" s="34" t="str">
        <f>'5-Alemanha DFL'!D9</f>
        <v>REPROVADO</v>
      </c>
      <c r="G9" s="34" t="str">
        <f>'6-França DNCG'!E9</f>
        <v>REPROVADO</v>
      </c>
    </row>
  </sheetData>
  <mergeCells count="1">
    <mergeCell ref="A2:F2"/>
  </mergeCells>
  <conditionalFormatting sqref="B6:G9">
    <cfRule type="cellIs" dxfId="1" priority="2" operator="equal">
      <formula>"APROVADO"</formula>
    </cfRule>
    <cfRule type="cellIs" dxfId="0" priority="3" operator="equal">
      <formula>"REPROVADO"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9</vt:i4>
      </vt:variant>
    </vt:vector>
  </HeadingPairs>
  <TitlesOfParts>
    <vt:vector size="9" baseType="lpstr">
      <vt:lpstr>Leia-me</vt:lpstr>
      <vt:lpstr>Dados</vt:lpstr>
      <vt:lpstr>1-SSF Brasil</vt:lpstr>
      <vt:lpstr>2-Inglaterra PSR</vt:lpstr>
      <vt:lpstr>3-Espanha LCPD</vt:lpstr>
      <vt:lpstr>4-Itália FIGC</vt:lpstr>
      <vt:lpstr>5-Alemanha DFL</vt:lpstr>
      <vt:lpstr>6-França DNCG</vt:lpstr>
      <vt:lpstr>Síntese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Vinicius Augusto</cp:lastModifiedBy>
  <cp:revision>0</cp:revision>
  <dcterms:created xsi:type="dcterms:W3CDTF">2026-06-29T03:32:20Z</dcterms:created>
  <dcterms:modified xsi:type="dcterms:W3CDTF">2026-06-29T03:39:53Z</dcterms:modified>
  <dc:language>en-US</dc:language>
</cp:coreProperties>
</file>